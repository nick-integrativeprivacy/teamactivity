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cfb43756f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75e4c5634bc04efd"/>
    <x:sheet xmlns:r="http://schemas.openxmlformats.org/officeDocument/2006/relationships" name="GameData" sheetId="2" r:id="R4db86895281e409e"/>
    <x:sheet xmlns:r="http://schemas.openxmlformats.org/officeDocument/2006/relationships" name="AnswerKey" sheetId="3" r:id="Rff0c6152321344f7"/>
    <x:sheet xmlns:r="http://schemas.openxmlformats.org/officeDocument/2006/relationships" name="Form Responses 1" sheetId="4" r:id="R174fa284fe55401d"/>
    <x:sheet xmlns:r="http://schemas.openxmlformats.org/officeDocument/2006/relationships" name="Leaderboard" sheetId="5" r:id="Rfd68f14ce8f54835"/>
    <x:sheet xmlns:r="http://schemas.openxmlformats.org/officeDocument/2006/relationships" name="Google Form Map" sheetId="6" r:id="R9f4f3fc436e8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:mm"/>
    <x:numFmt numFmtId="201" formatCode="0"/>
  </x:numFmts>
  <x:fonts count="5">
    <x:font>
      <x:sz val="11"/>
      <x:name val="Carlito"/>
    </x:font>
    <x:font>
      <x:b/>
      <x:sz val="16"/>
      <x:color rgb="FF222222"/>
      <x:name val="Carlito"/>
    </x:font>
    <x:font>
      <x:b/>
      <x:sz val="11"/>
      <x:color rgb="FF222222"/>
      <x:name val="Carlito"/>
    </x:font>
    <x:font>
      <x:b/>
      <x:sz val="11"/>
      <x:color rgb="FF121212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rgb="FFD9E2DD"/>
      </x:left>
      <x:top style="thin">
        <x:color rgb="FFD9E2DD"/>
      </x:top>
      <x:bottom style="thin">
        <x:color rgb="FFD9E2DD"/>
      </x:bottom>
    </x:border>
    <x:border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top style="thin">
        <x:color rgb="FFD9E2DD"/>
      </x:top>
      <x:bottom style="thin">
        <x:color rgb="FFD9E2DD"/>
      </x:bottom>
    </x:border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borderId="3" xfId="0" applyNumberFormat="1" applyFont="1" applyFill="0" applyBorder="1"/>
    <x:xf numFmtId="0" fontId="2" borderId="3" xfId="0" applyNumberFormat="1" applyFont="1" applyFill="0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3" xfId="0" applyNumberFormat="1" applyFont="1" applyFill="0" applyBorder="1"/>
    <x:xf numFmtId="0" fontId="3" borderId="2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2" borderId="4" xfId="0" applyNumberFormat="1" applyFont="1" applyFill="0" applyBorder="1"/>
    <x:xf numFmtId="0" fontId="2" borderId="4" xfId="0" applyNumberFormat="1" applyFont="1" applyFill="0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4" borderId="3" xfId="0" applyNumberFormat="1" applyFont="1" applyFill="0" applyBorder="1"/>
    <x:xf numFmtId="0" fontId="4" borderId="2" xfId="0" applyNumberFormat="1" applyFont="1" applyFill="0" applyBorder="1"/>
    <x:xf numFmtId="0" fontId="4" borderId="1" xfId="0" applyNumberFormat="1" applyFont="1" applyFill="0" applyBorder="1" applyAlignment="1">
      <x:alignment wrapText="1"/>
    </x:xf>
    <x:xf numFmtId="0" fontId="4" borderId="3" xfId="0" applyNumberFormat="1" applyFont="1" applyFill="0" applyBorder="1" applyAlignment="1">
      <x:alignment wrapText="1"/>
    </x:xf>
    <x:xf numFmtId="0" fontId="4" borderId="2" xfId="0" applyNumberFormat="1" applyFont="1" applyFill="0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e7f8440ca45f9" /><Relationship Type="http://schemas.openxmlformats.org/officeDocument/2006/relationships/theme" Target="/xl/theme/theme1.xml" Id="R97946476ef75454e" /><Relationship Type="http://schemas.openxmlformats.org/officeDocument/2006/relationships/sharedStrings" Target="/xl/sharedStrings.xml" Id="R36bdb6ef5fa64823" /><Relationship Type="http://schemas.openxmlformats.org/officeDocument/2006/relationships/worksheet" Target="/xl/worksheets/sheet1.xml" Id="R75e4c5634bc04efd" /><Relationship Type="http://schemas.openxmlformats.org/officeDocument/2006/relationships/worksheet" Target="/xl/worksheets/sheet2.xml" Id="R4db86895281e409e" /><Relationship Type="http://schemas.openxmlformats.org/officeDocument/2006/relationships/worksheet" Target="/xl/worksheets/sheet3.xml" Id="Rff0c6152321344f7" /><Relationship Type="http://schemas.openxmlformats.org/officeDocument/2006/relationships/worksheet" Target="/xl/worksheets/sheet4.xml" Id="R174fa284fe55401d" /><Relationship Type="http://schemas.openxmlformats.org/officeDocument/2006/relationships/worksheet" Target="/xl/worksheets/sheet5.xml" Id="Rfd68f14ce8f54835" /><Relationship Type="http://schemas.openxmlformats.org/officeDocument/2006/relationships/worksheet" Target="/xl/worksheets/sheet6.xml" Id="R9f4f3fc436e84425" /></Relationships>
</file>

<file path=xl/tables/table1.xml><?xml version="1.0" encoding="utf-8"?>
<x:table xmlns:x="http://schemas.openxmlformats.org/spreadsheetml/2006/main" id="1" name="GameDataTable" displayName="GameDataTable" ref="A1:C10" headerRowCount="1" totalsRowCount="0" totalsRowShown="0">
  <x:tableColumns count="3">
    <x:tableColumn id="1" name="Names"/>
    <x:tableColumn id="2" name="Shuffled Facts"/>
    <x:tableColumn id="3" name="Shuffled Spotify 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swerKeyTable" displayName="AnswerKeyTable" ref="A1:C10" headerRowCount="1" totalsRowCount="0" totalsRowShown="0">
  <x:tableColumns count="3">
    <x:tableColumn id="1" name="Names"/>
    <x:tableColumn id="2" name="True Fact ID/Text"/>
    <x:tableColumn id="3" name="True Song Link/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ogleFormMapTable" displayName="GoogleFormMapTable" ref="A1:E21" headerRowCount="1" totalsRowCount="0" totalsRowShown="0">
  <x:tableColumns count="5">
    <x:tableColumn id="1" name="Frontend env var"/>
    <x:tableColumn id="2" name="Google Form question"/>
    <x:tableColumn id="3" name="Response column"/>
    <x:tableColumn id="4" name="Accepted value"/>
    <x:tableColumn id="5" name="Entry ID placehol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0d2570978a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3e7e2daf7342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e1e6eff5f9d4d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78" hidden="0" customWidth="1"/>
    <x:col min="4" max="4" width="28" hidden="0" customWidth="1"/>
    <x:col min="5" max="5" width="46" hidden="0" customWidth="1"/>
    <x:col min="6" max="6" width="42" hidden="0" customWidth="1"/>
  </x:cols>
  <x:sheetData>
    <x:row r="1" ht="30" customHeight="1">
      <x:c r="A1" s="2" t="str">
        <x:v>Team Guessing Game setup workbook</x:v>
      </x:c>
      <x:c r="B1" s="2" t="str"/>
      <x:c r="C1" s="2" t="str"/>
      <x:c r="D1" s="2" t="str"/>
      <x:c r="E1" s="2" t="str"/>
      <x:c r="F1" s="2" t="str"/>
    </x:row>
    <x:row r="3">
      <x:c r="A3" s="6" t="str">
        <x:v>What this workbook contains</x:v>
      </x:c>
      <x:c r="B3" s="7" t="str">
        <x:v>Mock Google Sheets structure for the React Team Guessing Game.</x:v>
      </x:c>
      <x:c r="D3" s="6" t="str">
        <x:v>What I still need from you</x:v>
      </x:c>
      <x:c r="E3" s="13" t="str">
        <x:v>Why it matters</x:v>
      </x:c>
      <x:c r="F3" s="7" t="str">
        <x:v>Where it goes</x:v>
      </x:c>
    </x:row>
    <x:row r="4">
      <x:c r="A4" s="10" t="str">
        <x:v>Public tab to publish as CSV</x:v>
      </x:c>
      <x:c r="B4" s="11" t="str">
        <x:v>GameData</x:v>
      </x:c>
      <x:c r="D4" s="10" t="str">
        <x:v>Final participant names</x:v>
      </x:c>
      <x:c r="E4" s="15" t="str">
        <x:v>The app renders these as coworker cards.</x:v>
      </x:c>
      <x:c r="F4" s="11" t="str">
        <x:v>GameData column A and AnswerKey column A</x:v>
      </x:c>
    </x:row>
    <x:row r="5">
      <x:c r="A5" s="10" t="str">
        <x:v>Private scoring source</x:v>
      </x:c>
      <x:c r="B5" s="11" t="str">
        <x:v>AnswerKey</x:v>
      </x:c>
      <x:c r="D5" s="10" t="str">
        <x:v>Final fun facts</x:v>
      </x:c>
      <x:c r="E5" s="15" t="str">
        <x:v>Facts become draggable items and scoring keys.</x:v>
      </x:c>
      <x:c r="F5" s="11" t="str">
        <x:v>GameData column B and AnswerKey column B</x:v>
      </x:c>
    </x:row>
    <x:row r="6">
      <x:c r="A6" s="10" t="str">
        <x:v>Google Form response target</x:v>
      </x:c>
      <x:c r="B6" s="11" t="str">
        <x:v>Form Responses 1</x:v>
      </x:c>
      <x:c r="D6" s="10" t="str">
        <x:v>Final Spotify track IDs or URLs</x:v>
      </x:c>
      <x:c r="E6" s="15" t="str">
        <x:v>Songs become Spotify embeds and scoring keys.</x:v>
      </x:c>
      <x:c r="F6" s="11" t="str">
        <x:v>GameData column C and AnswerKey column C</x:v>
      </x:c>
    </x:row>
    <x:row r="7">
      <x:c r="A7" s="10" t="str">
        <x:v>Public leaderboard tab</x:v>
      </x:c>
      <x:c r="B7" s="11" t="str">
        <x:v>Leaderboard</x:v>
      </x:c>
      <x:c r="D7" s="10" t="str">
        <x:v>Google Form entry IDs</x:v>
      </x:c>
      <x:c r="E7" s="15" t="str">
        <x:v>The app uses these to silently POST guesses.</x:v>
      </x:c>
      <x:c r="F7" s="11" t="str">
        <x:v>.env.local</x:v>
      </x:c>
    </x:row>
    <x:row r="8">
      <x:c r="A8" s="10" t="str">
        <x:v>Max score</x:v>
      </x:c>
      <x:c r="B8" s="11" t="n">
        <x:v>18</x:v>
      </x:c>
      <x:c r="D8" s="10" t="str">
        <x:v>Published CSV URLs</x:v>
      </x:c>
      <x:c r="E8" s="15" t="str">
        <x:v>The app reads game data and leaderboard from them.</x:v>
      </x:c>
      <x:c r="F8" s="11" t="str">
        <x:v>.env.local</x:v>
      </x:c>
    </x:row>
    <x:row r="9">
      <x:c r="D9" s="10" t="str">
        <x:v>Netlify Basic Auth credentials</x:v>
      </x:c>
      <x:c r="E9" s="15" t="str">
        <x:v>Protects the app before JS loads.</x:v>
      </x:c>
      <x:c r="F9" s="11" t="str">
        <x:v>public/_headers</x:v>
      </x:c>
    </x:row>
    <x:row r="11">
      <x:c r="A11" s="6" t="str">
        <x:v>Google Sheets formulas to paste after upload</x:v>
      </x:c>
      <x:c r="B11" s="13" t="str">
        <x:v>Target cell</x:v>
      </x:c>
      <x:c r="C11" s="13" t="str">
        <x:v>Formula</x:v>
      </x:c>
      <x:c r="D11" s="13" t="str"/>
      <x:c r="E11" s="13" t="str"/>
      <x:c r="F11" s="7" t="str"/>
    </x:row>
    <x:row r="12">
      <x:c r="A12" s="10" t="str">
        <x:v>Scoring formula</x:v>
      </x:c>
      <x:c r="B12" s="15" t="str">
        <x:v>Form Responses 1!V2</x:v>
      </x:c>
      <x:c r="C12" s="15" t="str">
        <x:v>=ARRAYFORMULA(IF(LEN(B2:B),(D2:D=AnswerKey!B$2)+(E2:E=AnswerKey!C$2)+(F2:F=AnswerKey!B$3)+(G2:G=AnswerKey!C$3)+(H2:H=AnswerKey!B$4)+(I2:I=AnswerKey!C$4)+(J2:J=AnswerKey!B$5)+(K2:K=AnswerKey!C$5)+(L2:L=AnswerKey!B$6)+(M2:M=AnswerKey!C$6)+(N2:N=AnswerKey!B$7)+(O2:O=AnswerKey!C$7)+(P2:P=AnswerKey!B$8)+(Q2:Q=AnswerKey!C$8)+(R2:R=AnswerKey!B$9)+(S2:S=AnswerKey!C$9)+(T2:T=AnswerKey!B$10)+(U2:U=AnswerKey!C$10),""))</x:v>
      </x:c>
      <x:c r="D12" s="15" t="str"/>
      <x:c r="E12" s="15" t="str"/>
      <x:c r="F12" s="11" t="str"/>
    </x:row>
    <x:row r="13">
      <x:c r="A13" s="10" t="str">
        <x:v>Leaderboard formula</x:v>
      </x:c>
      <x:c r="B13" s="15" t="str">
        <x:v>Leaderboard!A1</x:v>
      </x:c>
      <x:c r="C13" s="15" t="str">
        <x:v>=QUERY('Form Responses 1'!B1:V, "SELECT B, V WHERE B IS NOT NULL ORDER BY V DESC", 1)</x:v>
      </x:c>
      <x:c r="D13" s="15" t="str"/>
      <x:c r="E13" s="15" t="str"/>
      <x:c r="F13" s="11" t="str"/>
    </x:row>
    <x:row r="14">
      <x:c r="A14" s="10" t="str">
        <x:v>Publish CSV</x:v>
      </x:c>
      <x:c r="B14" s="15" t="str">
        <x:v>File &gt; Share &gt; Publish to web</x:v>
      </x:c>
      <x:c r="C14" s="15" t="str">
        <x:v>Publish GameData and Leaderboard as CSV only.</x:v>
      </x:c>
      <x:c r="D14" s="15" t="str"/>
      <x:c r="E14" s="15" t="str"/>
      <x:c r="F14" s="11" t="str"/>
    </x:row>
    <x:row r="15">
      <x:c r="A15" s="10" t="str">
        <x:v>Form note</x:v>
      </x:c>
      <x:c r="B15" s="15" t="str">
        <x:v>Google Form settings</x:v>
      </x:c>
      <x:c r="C15" s="15" t="str">
        <x:v>Do not enable Collect email addresses; use a normal Player Email short answer.</x:v>
      </x:c>
      <x:c r="D15" s="15" t="str"/>
      <x:c r="E15" s="15" t="str"/>
      <x:c r="F15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34" hidden="0" customWidth="1"/>
  </x:cols>
  <x:sheetData>
    <x:row r="1">
      <x:c r="A1" s="20" t="str">
        <x:v>Names</x:v>
      </x:c>
      <x:c r="B1" s="21" t="str">
        <x:v>Shuffled Facts</x:v>
      </x:c>
      <x:c r="C1" s="22" t="str">
        <x:v>Shuffled Spotify IDs</x:v>
      </x:c>
    </x:row>
    <x:row r="2">
      <x:c r="A2" s="10" t="str">
        <x:v>Avery Chen</x:v>
      </x:c>
      <x:c r="B2" s="15" t="str">
        <x:v>Keeps a spreadsheet of favorite movie soundtracks.</x:v>
      </x:c>
      <x:c r="C2" s="11" t="str">
        <x:v>7ouMYWpwJ422jRcDASZB7P</x:v>
      </x:c>
    </x:row>
    <x:row r="3">
      <x:c r="A3" s="10" t="str">
        <x:v>Blair Ortiz</x:v>
      </x:c>
      <x:c r="B3" s="15" t="str">
        <x:v>Has a handwritten recipe book organized by season.</x:v>
      </x:c>
      <x:c r="C3" s="11" t="str">
        <x:v>3AJwUDP919kvQ9QcozQPxg</x:v>
      </x:c>
    </x:row>
    <x:row r="4">
      <x:c r="A4" s="10" t="str">
        <x:v>Casey Novak</x:v>
      </x:c>
      <x:c r="B4" s="15" t="str">
        <x:v>Restores vintage bicycles on weekends.</x:v>
      </x:c>
      <x:c r="C4" s="11" t="str">
        <x:v>2takcwOaAZWiXQijPHIx7B</x:v>
      </x:c>
    </x:row>
    <x:row r="5">
      <x:c r="A5" s="10" t="str">
        <x:v>Devon Patel</x:v>
      </x:c>
      <x:c r="B5" s="15" t="str">
        <x:v>Once won a community trivia night by one point.</x:v>
      </x:c>
      <x:c r="C5" s="11" t="str">
        <x:v>2TpxZ7JUBn3uw46aR7qd6V</x:v>
      </x:c>
    </x:row>
    <x:row r="6">
      <x:c r="A6" s="10" t="str">
        <x:v>Ellis Wright</x:v>
      </x:c>
      <x:c r="B6" s="15" t="str">
        <x:v>Baked sourdough every Sunday for three years.</x:v>
      </x:c>
      <x:c r="C6" s="11" t="str">
        <x:v>0VjIjW4GlUZAMYd2vXMi3b</x:v>
      </x:c>
    </x:row>
    <x:row r="7">
      <x:c r="A7" s="10" t="str">
        <x:v>Finley Brooks</x:v>
      </x:c>
      <x:c r="B7" s="15" t="str">
        <x:v>Can solve a Rubik's cube in under two minutes.</x:v>
      </x:c>
      <x:c r="C7" s="11" t="str">
        <x:v>1mea3bSkSGXuIRvnydlB5b</x:v>
      </x:c>
    </x:row>
    <x:row r="8">
      <x:c r="A8" s="10" t="str">
        <x:v>Harper Kim</x:v>
      </x:c>
      <x:c r="B8" s="15" t="str">
        <x:v>Can identify every U.S. state by its highway sign shape.</x:v>
      </x:c>
      <x:c r="C8" s="11" t="str">
        <x:v>4PTG3Z6ehGkBF3zIqYQGSy</x:v>
      </x:c>
    </x:row>
    <x:row r="9">
      <x:c r="A9" s="10" t="str">
        <x:v>Jordan Reed</x:v>
      </x:c>
      <x:c r="B9" s="15" t="str">
        <x:v>Learned basic pottery from online videos.</x:v>
      </x:c>
      <x:c r="C9" s="11" t="str">
        <x:v>5ChkMS8OtdzJeqyybCc9R5</x:v>
      </x:c>
    </x:row>
    <x:row r="10">
      <x:c r="A10" s="10" t="str">
        <x:v>Morgan Stone</x:v>
      </x:c>
      <x:c r="B10" s="15" t="str">
        <x:v>Completed a sunrise hike in four national parks.</x:v>
      </x:c>
      <x:c r="C10" s="11" t="str">
        <x:v>6habFhsOp2NvshLv26DqMb</x:v>
      </x:c>
    </x:row>
  </x:sheetData>
  <x:pageMargins left="0.7" right="0.7" top="0.75" bottom="0.75" header="0.3" footer="0.3"/>
  <x:tableParts count="1">
    <x:tablePart xmlns:r="http://schemas.openxmlformats.org/officeDocument/2006/relationships" r:id="R6b0d2570978a4c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34" hidden="0" customWidth="1"/>
    <x:col min="4" max="4" width="4" hidden="0" customWidth="1"/>
    <x:col min="5" max="5" width="34" hidden="0" customWidth="1"/>
  </x:cols>
  <x:sheetData>
    <x:row r="1">
      <x:c r="A1" s="6" t="str">
        <x:v>Names</x:v>
      </x:c>
      <x:c r="B1" s="13" t="str">
        <x:v>True Fact ID/Text</x:v>
      </x:c>
      <x:c r="C1" s="7" t="str">
        <x:v>True Song Link/ID</x:v>
      </x:c>
      <x:c r="E1" s="24" t="str">
        <x:v>Private tab</x:v>
      </x:c>
    </x:row>
    <x:row r="2">
      <x:c r="A2" s="10" t="str">
        <x:v>Avery Chen</x:v>
      </x:c>
      <x:c r="B2" s="15" t="str">
        <x:v>Restores vintage bicycles on weekends.</x:v>
      </x:c>
      <x:c r="C2" s="11" t="str">
        <x:v>4PTG3Z6ehGkBF3zIqYQGSy</x:v>
      </x:c>
      <x:c r="E2" s="26" t="str">
        <x:v>Do not publish this tab as CSV.</x:v>
      </x:c>
    </x:row>
    <x:row r="3">
      <x:c r="A3" s="10" t="str">
        <x:v>Blair Ortiz</x:v>
      </x:c>
      <x:c r="B3" s="15" t="str">
        <x:v>Can identify every U.S. state by its highway sign shape.</x:v>
      </x:c>
      <x:c r="C3" s="11" t="str">
        <x:v>2TpxZ7JUBn3uw46aR7qd6V</x:v>
      </x:c>
      <x:c r="E3" s="26" t="str">
        <x:v>It is the scoring source for correct matches.</x:v>
      </x:c>
    </x:row>
    <x:row r="4">
      <x:c r="A4" s="10" t="str">
        <x:v>Casey Novak</x:v>
      </x:c>
      <x:c r="B4" s="15" t="str">
        <x:v>Baked sourdough every Sunday for three years.</x:v>
      </x:c>
      <x:c r="C4" s="11" t="str">
        <x:v>7ouMYWpwJ422jRcDASZB7P</x:v>
      </x:c>
    </x:row>
    <x:row r="5">
      <x:c r="A5" s="10" t="str">
        <x:v>Devon Patel</x:v>
      </x:c>
      <x:c r="B5" s="15" t="str">
        <x:v>Completed a sunrise hike in four national parks.</x:v>
      </x:c>
      <x:c r="C5" s="11" t="str">
        <x:v>5ChkMS8OtdzJeqyybCc9R5</x:v>
      </x:c>
    </x:row>
    <x:row r="6">
      <x:c r="A6" s="10" t="str">
        <x:v>Ellis Wright</x:v>
      </x:c>
      <x:c r="B6" s="15" t="str">
        <x:v>Keeps a spreadsheet of favorite movie soundtracks.</x:v>
      </x:c>
      <x:c r="C6" s="11" t="str">
        <x:v>0VjIjW4GlUZAMYd2vXMi3b</x:v>
      </x:c>
    </x:row>
    <x:row r="7">
      <x:c r="A7" s="10" t="str">
        <x:v>Finley Brooks</x:v>
      </x:c>
      <x:c r="B7" s="15" t="str">
        <x:v>Once won a community trivia night by one point.</x:v>
      </x:c>
      <x:c r="C7" s="11" t="str">
        <x:v>3AJwUDP919kvQ9QcozQPxg</x:v>
      </x:c>
    </x:row>
    <x:row r="8">
      <x:c r="A8" s="10" t="str">
        <x:v>Harper Kim</x:v>
      </x:c>
      <x:c r="B8" s="15" t="str">
        <x:v>Learned basic pottery from online videos.</x:v>
      </x:c>
      <x:c r="C8" s="11" t="str">
        <x:v>6habFhsOp2NvshLv26DqMb</x:v>
      </x:c>
    </x:row>
    <x:row r="9">
      <x:c r="A9" s="10" t="str">
        <x:v>Jordan Reed</x:v>
      </x:c>
      <x:c r="B9" s="15" t="str">
        <x:v>Has a handwritten recipe book organized by season.</x:v>
      </x:c>
      <x:c r="C9" s="11" t="str">
        <x:v>1mea3bSkSGXuIRvnydlB5b</x:v>
      </x:c>
    </x:row>
    <x:row r="10">
      <x:c r="A10" s="10" t="str">
        <x:v>Morgan Stone</x:v>
      </x:c>
      <x:c r="B10" s="15" t="str">
        <x:v>Can solve a Rubik's cube in under two minutes.</x:v>
      </x:c>
      <x:c r="C10" s="11" t="str">
        <x:v>2takcwOaAZWiXQijPHIx7B</x:v>
      </x:c>
    </x:row>
  </x:sheetData>
  <x:pageMargins left="0.7" right="0.7" top="0.75" bottom="0.75" header="0.3" footer="0.3"/>
  <x:tableParts count="1">
    <x:tablePart xmlns:r="http://schemas.openxmlformats.org/officeDocument/2006/relationships" r:id="Rd63e7e2daf7342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19" max="19" width="40" hidden="0" customWidth="1"/>
    <x:col min="20" max="20" width="40" hidden="0" customWidth="1"/>
    <x:col min="21" max="21" width="40" hidden="0" customWidth="1"/>
    <x:col min="22" max="22" width="10" hidden="0" customWidth="1"/>
  </x:cols>
  <x:sheetData>
    <x:row r="1">
      <x:c r="A1" s="31" t="str">
        <x:v>Timestamp</x:v>
      </x:c>
      <x:c r="B1" s="32" t="str">
        <x:v>Player Name</x:v>
      </x:c>
      <x:c r="C1" s="32" t="str">
        <x:v>Player Email</x:v>
      </x:c>
      <x:c r="D1" s="32" t="str">
        <x:v>Guess Fact 1 (Avery Chen)</x:v>
      </x:c>
      <x:c r="E1" s="32" t="str">
        <x:v>Guess Song 1 (Avery Chen)</x:v>
      </x:c>
      <x:c r="F1" s="32" t="str">
        <x:v>Guess Fact 2 (Blair Ortiz)</x:v>
      </x:c>
      <x:c r="G1" s="32" t="str">
        <x:v>Guess Song 2 (Blair Ortiz)</x:v>
      </x:c>
      <x:c r="H1" s="32" t="str">
        <x:v>Guess Fact 3 (Casey Novak)</x:v>
      </x:c>
      <x:c r="I1" s="32" t="str">
        <x:v>Guess Song 3 (Casey Novak)</x:v>
      </x:c>
      <x:c r="J1" s="32" t="str">
        <x:v>Guess Fact 4 (Devon Patel)</x:v>
      </x:c>
      <x:c r="K1" s="32" t="str">
        <x:v>Guess Song 4 (Devon Patel)</x:v>
      </x:c>
      <x:c r="L1" s="32" t="str">
        <x:v>Guess Fact 5 (Ellis Wright)</x:v>
      </x:c>
      <x:c r="M1" s="32" t="str">
        <x:v>Guess Song 5 (Ellis Wright)</x:v>
      </x:c>
      <x:c r="N1" s="32" t="str">
        <x:v>Guess Fact 6 (Finley Brooks)</x:v>
      </x:c>
      <x:c r="O1" s="32" t="str">
        <x:v>Guess Song 6 (Finley Brooks)</x:v>
      </x:c>
      <x:c r="P1" s="32" t="str">
        <x:v>Guess Fact 7 (Harper Kim)</x:v>
      </x:c>
      <x:c r="Q1" s="32" t="str">
        <x:v>Guess Song 7 (Harper Kim)</x:v>
      </x:c>
      <x:c r="R1" s="32" t="str">
        <x:v>Guess Fact 8 (Jordan Reed)</x:v>
      </x:c>
      <x:c r="S1" s="32" t="str">
        <x:v>Guess Song 8 (Jordan Reed)</x:v>
      </x:c>
      <x:c r="T1" s="32" t="str">
        <x:v>Guess Fact 9 (Morgan Stone)</x:v>
      </x:c>
      <x:c r="U1" s="32" t="str">
        <x:v>Guess Song 9 (Morgan Stone)</x:v>
      </x:c>
      <x:c r="V1" s="33" t="str">
        <x:v>Score</x:v>
      </x:c>
    </x:row>
    <x:row r="2">
      <x:c r="A2" s="34" t="n">
        <x:v>46212.75</x:v>
      </x:c>
      <x:c r="B2" s="15" t="str">
        <x:v>Taylor Demo</x:v>
      </x:c>
      <x:c r="C2" s="15" t="str">
        <x:v>taylor.demo@example.com</x:v>
      </x:c>
      <x:c r="D2" s="15" t="str">
        <x:v>Restores vintage bicycles on weekends.</x:v>
      </x:c>
      <x:c r="E2" s="15" t="str">
        <x:v>4PTG3Z6ehGkBF3zIqYQGSy</x:v>
      </x:c>
      <x:c r="F2" s="15" t="str">
        <x:v>Can identify every U.S. state by its highway sign shape.</x:v>
      </x:c>
      <x:c r="G2" s="15" t="str">
        <x:v>2TpxZ7JUBn3uw46aR7qd6V</x:v>
      </x:c>
      <x:c r="H2" s="15" t="str">
        <x:v>Baked sourdough every Sunday for three years.</x:v>
      </x:c>
      <x:c r="I2" s="15" t="str">
        <x:v>7ouMYWpwJ422jRcDASZB7P</x:v>
      </x:c>
      <x:c r="J2" s="15" t="str">
        <x:v>Completed a sunrise hike in four national parks.</x:v>
      </x:c>
      <x:c r="K2" s="15" t="str">
        <x:v>5ChkMS8OtdzJeqyybCc9R5</x:v>
      </x:c>
      <x:c r="L2" s="15" t="str">
        <x:v>Keeps a spreadsheet of favorite movie soundtracks.</x:v>
      </x:c>
      <x:c r="M2" s="15" t="str">
        <x:v>0VjIjW4GlUZAMYd2vXMi3b</x:v>
      </x:c>
      <x:c r="N2" s="15" t="str">
        <x:v>Once won a community trivia night by one point.</x:v>
      </x:c>
      <x:c r="O2" s="15" t="str">
        <x:v>3AJwUDP919kvQ9QcozQPxg</x:v>
      </x:c>
      <x:c r="P2" s="15" t="str">
        <x:v>Learned basic pottery from online videos.</x:v>
      </x:c>
      <x:c r="Q2" s="15" t="str">
        <x:v>6habFhsOp2NvshLv26DqMb</x:v>
      </x:c>
      <x:c r="R2" s="15" t="str">
        <x:v>Has a handwritten recipe book organized by season.</x:v>
      </x:c>
      <x:c r="S2" s="15" t="str">
        <x:v>1mea3bSkSGXuIRvnydlB5b</x:v>
      </x:c>
      <x:c r="T2" s="15" t="str">
        <x:v>Can solve a Rubik's cube in under two minutes.</x:v>
      </x:c>
      <x:c r="U2" s="15" t="str">
        <x:v>2takcwOaAZWiXQijPHIx7B</x:v>
      </x:c>
      <x:c r="V2" s="35" t="n">
        <x:f>IF(LEN(B2)=0,"",IF(D2='AnswerKey'!$B$2,1,0)+IF(E2='AnswerKey'!$C$2,1,0)+IF(F2='AnswerKey'!$B$3,1,0)+IF(G2='AnswerKey'!$C$3,1,0)+IF(H2='AnswerKey'!$B$4,1,0)+IF(I2='AnswerKey'!$C$4,1,0)+IF(J2='AnswerKey'!$B$5,1,0)+IF(K2='AnswerKey'!$C$5,1,0)+IF(L2='AnswerKey'!$B$6,1,0)+IF(M2='AnswerKey'!$C$6,1,0)+IF(N2='AnswerKey'!$B$7,1,0)+IF(O2='AnswerKey'!$C$7,1,0)+IF(P2='AnswerKey'!$B$8,1,0)+IF(Q2='AnswerKey'!$C$8,1,0)+IF(R2='AnswerKey'!$B$9,1,0)+IF(S2='AnswerKey'!$C$9,1,0)+IF(T2='AnswerKey'!$B$10,1,0)+IF(U2='AnswerKey'!$C$10,1,0))</x:f>
        <x:v>18</x:v>
      </x:c>
    </x:row>
    <x:row r="3">
      <x:c r="A3" s="34" t="n">
        <x:v>46212.75</x:v>
      </x:c>
      <x:c r="B3" s="15" t="str">
        <x:v>Riley Demo</x:v>
      </x:c>
      <x:c r="C3" s="15" t="str">
        <x:v>riley.demo@example.com</x:v>
      </x:c>
      <x:c r="D3" s="15" t="str">
        <x:v>Restores vintage bicycles on weekends.</x:v>
      </x:c>
      <x:c r="E3" s="15" t="str">
        <x:v>4PTG3Z6ehGkBF3zIqYQGSy</x:v>
      </x:c>
      <x:c r="F3" s="15" t="str">
        <x:v>Can identify every U.S. state by its highway sign shape.</x:v>
      </x:c>
      <x:c r="G3" s="15" t="str">
        <x:v>2TpxZ7JUBn3uw46aR7qd6V</x:v>
      </x:c>
      <x:c r="H3" s="15" t="str">
        <x:v>Baked sourdough every Sunday for three years.</x:v>
      </x:c>
      <x:c r="I3" s="15" t="str">
        <x:v>7ouMYWpwJ422jRcDASZB7P</x:v>
      </x:c>
      <x:c r="J3" s="15" t="str">
        <x:v>Completed a sunrise hike in four national parks.</x:v>
      </x:c>
      <x:c r="K3" s="15" t="str">
        <x:v>2TpxZ7JUBn3uw46aR7qd6V</x:v>
      </x:c>
      <x:c r="L3" s="15" t="str">
        <x:v>Keeps a spreadsheet of favorite movie soundtracks.</x:v>
      </x:c>
      <x:c r="M3" s="15" t="str">
        <x:v>0VjIjW4GlUZAMYd2vXMi3b</x:v>
      </x:c>
      <x:c r="N3" s="15" t="str">
        <x:v>Can solve a Rubik's cube in under two minutes.</x:v>
      </x:c>
      <x:c r="O3" s="15" t="str">
        <x:v>1mea3bSkSGXuIRvnydlB5b</x:v>
      </x:c>
      <x:c r="P3" s="15" t="str">
        <x:v>Can identify every U.S. state by its highway sign shape.</x:v>
      </x:c>
      <x:c r="Q3" s="15" t="str">
        <x:v>4PTG3Z6ehGkBF3zIqYQGSy</x:v>
      </x:c>
      <x:c r="R3" s="15" t="str">
        <x:v>Learned basic pottery from online videos.</x:v>
      </x:c>
      <x:c r="S3" s="15" t="str">
        <x:v>5ChkMS8OtdzJeqyybCc9R5</x:v>
      </x:c>
      <x:c r="T3" s="15" t="str">
        <x:v>Completed a sunrise hike in four national parks.</x:v>
      </x:c>
      <x:c r="U3" s="15" t="str">
        <x:v>6habFhsOp2NvshLv26DqMb</x:v>
      </x:c>
      <x:c r="V3" s="35" t="n">
        <x:f>IF(LEN(B3)=0,"",IF(D3='AnswerKey'!$B$2,1,0)+IF(E3='AnswerKey'!$C$2,1,0)+IF(F3='AnswerKey'!$B$3,1,0)+IF(G3='AnswerKey'!$C$3,1,0)+IF(H3='AnswerKey'!$B$4,1,0)+IF(I3='AnswerKey'!$C$4,1,0)+IF(J3='AnswerKey'!$B$5,1,0)+IF(K3='AnswerKey'!$C$5,1,0)+IF(L3='AnswerKey'!$B$6,1,0)+IF(M3='AnswerKey'!$C$6,1,0)+IF(N3='AnswerKey'!$B$7,1,0)+IF(O3='AnswerKey'!$C$7,1,0)+IF(P3='AnswerKey'!$B$8,1,0)+IF(Q3='AnswerKey'!$C$8,1,0)+IF(R3='AnswerKey'!$B$9,1,0)+IF(S3='AnswerKey'!$C$9,1,0)+IF(T3='AnswerKey'!$B$10,1,0)+IF(U3='AnswerKey'!$C$10,1,0))</x:f>
        <x:v>9</x:v>
      </x:c>
    </x:row>
    <x:row r="4">
      <x:c r="A4" s="34" t="n">
        <x:v>46212.75</x:v>
      </x:c>
      <x:c r="B4" s="15" t="str">
        <x:v>Sam Demo</x:v>
      </x:c>
      <x:c r="C4" s="15" t="str">
        <x:v>sam.demo@example.com</x:v>
      </x:c>
      <x:c r="D4" s="15" t="str">
        <x:v>Restores vintage bicycles on weekends.</x:v>
      </x:c>
      <x:c r="E4" s="15" t="str">
        <x:v>7ouMYWpwJ422jRcDASZB7P</x:v>
      </x:c>
      <x:c r="F4" s="15" t="str">
        <x:v>Has a handwritten recipe book organized by season.</x:v>
      </x:c>
      <x:c r="G4" s="15" t="str">
        <x:v>3AJwUDP919kvQ9QcozQPxg</x:v>
      </x:c>
      <x:c r="H4" s="15" t="str">
        <x:v>Restores vintage bicycles on weekends.</x:v>
      </x:c>
      <x:c r="I4" s="15" t="str">
        <x:v>7ouMYWpwJ422jRcDASZB7P</x:v>
      </x:c>
      <x:c r="J4" s="15" t="str">
        <x:v>Once won a community trivia night by one point.</x:v>
      </x:c>
      <x:c r="K4" s="15" t="str">
        <x:v>2TpxZ7JUBn3uw46aR7qd6V</x:v>
      </x:c>
      <x:c r="L4" s="15" t="str">
        <x:v>Baked sourdough every Sunday for three years.</x:v>
      </x:c>
      <x:c r="M4" s="15" t="str">
        <x:v>0VjIjW4GlUZAMYd2vXMi3b</x:v>
      </x:c>
      <x:c r="N4" s="15" t="str">
        <x:v>Can solve a Rubik's cube in under two minutes.</x:v>
      </x:c>
      <x:c r="O4" s="15" t="str">
        <x:v>1mea3bSkSGXuIRvnydlB5b</x:v>
      </x:c>
      <x:c r="P4" s="15" t="str">
        <x:v>Can identify every U.S. state by its highway sign shape.</x:v>
      </x:c>
      <x:c r="Q4" s="15" t="str">
        <x:v>4PTG3Z6ehGkBF3zIqYQGSy</x:v>
      </x:c>
      <x:c r="R4" s="15" t="str">
        <x:v>Has a handwritten recipe book organized by season.</x:v>
      </x:c>
      <x:c r="S4" s="15" t="str">
        <x:v>5ChkMS8OtdzJeqyybCc9R5</x:v>
      </x:c>
      <x:c r="T4" s="15" t="str">
        <x:v>Completed a sunrise hike in four national parks.</x:v>
      </x:c>
      <x:c r="U4" s="15" t="str">
        <x:v>6habFhsOp2NvshLv26DqMb</x:v>
      </x:c>
      <x:c r="V4" s="35" t="n">
        <x:f>IF(LEN(B4)=0,"",IF(D4='AnswerKey'!$B$2,1,0)+IF(E4='AnswerKey'!$C$2,1,0)+IF(F4='AnswerKey'!$B$3,1,0)+IF(G4='AnswerKey'!$C$3,1,0)+IF(H4='AnswerKey'!$B$4,1,0)+IF(I4='AnswerKey'!$C$4,1,0)+IF(J4='AnswerKey'!$B$5,1,0)+IF(K4='AnswerKey'!$C$5,1,0)+IF(L4='AnswerKey'!$B$6,1,0)+IF(M4='AnswerKey'!$C$6,1,0)+IF(N4='AnswerKey'!$B$7,1,0)+IF(O4='AnswerKey'!$C$7,1,0)+IF(P4='AnswerKey'!$B$8,1,0)+IF(Q4='AnswerKey'!$C$8,1,0)+IF(R4='AnswerKey'!$B$9,1,0)+IF(S4='AnswerKey'!$C$9,1,0)+IF(T4='AnswerKey'!$B$10,1,0)+IF(U4='AnswerKey'!$C$10,1,0))</x:f>
        <x:v>4</x:v>
      </x:c>
    </x:row>
    <x:row r="5">
      <x:c r="A5" s="34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35" t="str">
        <x:f>IF(LEN(B5)=0,"",IF(D5='AnswerKey'!$B$2,1,0)+IF(E5='AnswerKey'!$C$2,1,0)+IF(F5='AnswerKey'!$B$3,1,0)+IF(G5='AnswerKey'!$C$3,1,0)+IF(H5='AnswerKey'!$B$4,1,0)+IF(I5='AnswerKey'!$C$4,1,0)+IF(J5='AnswerKey'!$B$5,1,0)+IF(K5='AnswerKey'!$C$5,1,0)+IF(L5='AnswerKey'!$B$6,1,0)+IF(M5='AnswerKey'!$C$6,1,0)+IF(N5='AnswerKey'!$B$7,1,0)+IF(O5='AnswerKey'!$C$7,1,0)+IF(P5='AnswerKey'!$B$8,1,0)+IF(Q5='AnswerKey'!$C$8,1,0)+IF(R5='AnswerKey'!$B$9,1,0)+IF(S5='AnswerKey'!$C$9,1,0)+IF(T5='AnswerKey'!$B$10,1,0)+IF(U5='AnswerKey'!$C$10,1,0))</x:f>
      </x:c>
    </x:row>
    <x:row r="6">
      <x:c r="A6" s="34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35" t="str">
        <x:f>IF(LEN(B6)=0,"",IF(D6='AnswerKey'!$B$2,1,0)+IF(E6='AnswerKey'!$C$2,1,0)+IF(F6='AnswerKey'!$B$3,1,0)+IF(G6='AnswerKey'!$C$3,1,0)+IF(H6='AnswerKey'!$B$4,1,0)+IF(I6='AnswerKey'!$C$4,1,0)+IF(J6='AnswerKey'!$B$5,1,0)+IF(K6='AnswerKey'!$C$5,1,0)+IF(L6='AnswerKey'!$B$6,1,0)+IF(M6='AnswerKey'!$C$6,1,0)+IF(N6='AnswerKey'!$B$7,1,0)+IF(O6='AnswerKey'!$C$7,1,0)+IF(P6='AnswerKey'!$B$8,1,0)+IF(Q6='AnswerKey'!$C$8,1,0)+IF(R6='AnswerKey'!$B$9,1,0)+IF(S6='AnswerKey'!$C$9,1,0)+IF(T6='AnswerKey'!$B$10,1,0)+IF(U6='AnswerKey'!$C$10,1,0))</x:f>
      </x:c>
    </x:row>
    <x:row r="7">
      <x:c r="A7" s="34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35" t="str">
        <x:f>IF(LEN(B7)=0,"",IF(D7='AnswerKey'!$B$2,1,0)+IF(E7='AnswerKey'!$C$2,1,0)+IF(F7='AnswerKey'!$B$3,1,0)+IF(G7='AnswerKey'!$C$3,1,0)+IF(H7='AnswerKey'!$B$4,1,0)+IF(I7='AnswerKey'!$C$4,1,0)+IF(J7='AnswerKey'!$B$5,1,0)+IF(K7='AnswerKey'!$C$5,1,0)+IF(L7='AnswerKey'!$B$6,1,0)+IF(M7='AnswerKey'!$C$6,1,0)+IF(N7='AnswerKey'!$B$7,1,0)+IF(O7='AnswerKey'!$C$7,1,0)+IF(P7='AnswerKey'!$B$8,1,0)+IF(Q7='AnswerKey'!$C$8,1,0)+IF(R7='AnswerKey'!$B$9,1,0)+IF(S7='AnswerKey'!$C$9,1,0)+IF(T7='AnswerKey'!$B$10,1,0)+IF(U7='AnswerKey'!$C$10,1,0))</x:f>
      </x:c>
    </x:row>
    <x:row r="8">
      <x:c r="A8" s="34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35" t="str">
        <x:f>IF(LEN(B8)=0,"",IF(D8='AnswerKey'!$B$2,1,0)+IF(E8='AnswerKey'!$C$2,1,0)+IF(F8='AnswerKey'!$B$3,1,0)+IF(G8='AnswerKey'!$C$3,1,0)+IF(H8='AnswerKey'!$B$4,1,0)+IF(I8='AnswerKey'!$C$4,1,0)+IF(J8='AnswerKey'!$B$5,1,0)+IF(K8='AnswerKey'!$C$5,1,0)+IF(L8='AnswerKey'!$B$6,1,0)+IF(M8='AnswerKey'!$C$6,1,0)+IF(N8='AnswerKey'!$B$7,1,0)+IF(O8='AnswerKey'!$C$7,1,0)+IF(P8='AnswerKey'!$B$8,1,0)+IF(Q8='AnswerKey'!$C$8,1,0)+IF(R8='AnswerKey'!$B$9,1,0)+IF(S8='AnswerKey'!$C$9,1,0)+IF(T8='AnswerKey'!$B$10,1,0)+IF(U8='AnswerKey'!$C$10,1,0))</x:f>
      </x:c>
    </x:row>
    <x:row r="9">
      <x:c r="A9" s="34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35" t="str">
        <x:f>IF(LEN(B9)=0,"",IF(D9='AnswerKey'!$B$2,1,0)+IF(E9='AnswerKey'!$C$2,1,0)+IF(F9='AnswerKey'!$B$3,1,0)+IF(G9='AnswerKey'!$C$3,1,0)+IF(H9='AnswerKey'!$B$4,1,0)+IF(I9='AnswerKey'!$C$4,1,0)+IF(J9='AnswerKey'!$B$5,1,0)+IF(K9='AnswerKey'!$C$5,1,0)+IF(L9='AnswerKey'!$B$6,1,0)+IF(M9='AnswerKey'!$C$6,1,0)+IF(N9='AnswerKey'!$B$7,1,0)+IF(O9='AnswerKey'!$C$7,1,0)+IF(P9='AnswerKey'!$B$8,1,0)+IF(Q9='AnswerKey'!$C$8,1,0)+IF(R9='AnswerKey'!$B$9,1,0)+IF(S9='AnswerKey'!$C$9,1,0)+IF(T9='AnswerKey'!$B$10,1,0)+IF(U9='AnswerKey'!$C$10,1,0))</x:f>
      </x:c>
    </x:row>
    <x:row r="10">
      <x:c r="A10" s="34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35" t="str">
        <x:f>IF(LEN(B10)=0,"",IF(D10='AnswerKey'!$B$2,1,0)+IF(E10='AnswerKey'!$C$2,1,0)+IF(F10='AnswerKey'!$B$3,1,0)+IF(G10='AnswerKey'!$C$3,1,0)+IF(H10='AnswerKey'!$B$4,1,0)+IF(I10='AnswerKey'!$C$4,1,0)+IF(J10='AnswerKey'!$B$5,1,0)+IF(K10='AnswerKey'!$C$5,1,0)+IF(L10='AnswerKey'!$B$6,1,0)+IF(M10='AnswerKey'!$C$6,1,0)+IF(N10='AnswerKey'!$B$7,1,0)+IF(O10='AnswerKey'!$C$7,1,0)+IF(P10='AnswerKey'!$B$8,1,0)+IF(Q10='AnswerKey'!$C$8,1,0)+IF(R10='AnswerKey'!$B$9,1,0)+IF(S10='AnswerKey'!$C$9,1,0)+IF(T10='AnswerKey'!$B$10,1,0)+IF(U10='AnswerKey'!$C$10,1,0))</x:f>
      </x:c>
    </x:row>
    <x:row r="11">
      <x:c r="A11" s="34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35" t="str">
        <x:f>IF(LEN(B11)=0,"",IF(D11='AnswerKey'!$B$2,1,0)+IF(E11='AnswerKey'!$C$2,1,0)+IF(F11='AnswerKey'!$B$3,1,0)+IF(G11='AnswerKey'!$C$3,1,0)+IF(H11='AnswerKey'!$B$4,1,0)+IF(I11='AnswerKey'!$C$4,1,0)+IF(J11='AnswerKey'!$B$5,1,0)+IF(K11='AnswerKey'!$C$5,1,0)+IF(L11='AnswerKey'!$B$6,1,0)+IF(M11='AnswerKey'!$C$6,1,0)+IF(N11='AnswerKey'!$B$7,1,0)+IF(O11='AnswerKey'!$C$7,1,0)+IF(P11='AnswerKey'!$B$8,1,0)+IF(Q11='AnswerKey'!$C$8,1,0)+IF(R11='AnswerKey'!$B$9,1,0)+IF(S11='AnswerKey'!$C$9,1,0)+IF(T11='AnswerKey'!$B$10,1,0)+IF(U11='AnswerKey'!$C$10,1,0))</x:f>
      </x:c>
    </x:row>
    <x:row r="12">
      <x:c r="A12" s="34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35" t="str">
        <x:f>IF(LEN(B12)=0,"",IF(D12='AnswerKey'!$B$2,1,0)+IF(E12='AnswerKey'!$C$2,1,0)+IF(F12='AnswerKey'!$B$3,1,0)+IF(G12='AnswerKey'!$C$3,1,0)+IF(H12='AnswerKey'!$B$4,1,0)+IF(I12='AnswerKey'!$C$4,1,0)+IF(J12='AnswerKey'!$B$5,1,0)+IF(K12='AnswerKey'!$C$5,1,0)+IF(L12='AnswerKey'!$B$6,1,0)+IF(M12='AnswerKey'!$C$6,1,0)+IF(N12='AnswerKey'!$B$7,1,0)+IF(O12='AnswerKey'!$C$7,1,0)+IF(P12='AnswerKey'!$B$8,1,0)+IF(Q12='AnswerKey'!$C$8,1,0)+IF(R12='AnswerKey'!$B$9,1,0)+IF(S12='AnswerKey'!$C$9,1,0)+IF(T12='AnswerKey'!$B$10,1,0)+IF(U12='AnswerKey'!$C$10,1,0))</x:f>
      </x:c>
    </x:row>
    <x:row r="13">
      <x:c r="A13" s="34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35" t="str">
        <x:f>IF(LEN(B13)=0,"",IF(D13='AnswerKey'!$B$2,1,0)+IF(E13='AnswerKey'!$C$2,1,0)+IF(F13='AnswerKey'!$B$3,1,0)+IF(G13='AnswerKey'!$C$3,1,0)+IF(H13='AnswerKey'!$B$4,1,0)+IF(I13='AnswerKey'!$C$4,1,0)+IF(J13='AnswerKey'!$B$5,1,0)+IF(K13='AnswerKey'!$C$5,1,0)+IF(L13='AnswerKey'!$B$6,1,0)+IF(M13='AnswerKey'!$C$6,1,0)+IF(N13='AnswerKey'!$B$7,1,0)+IF(O13='AnswerKey'!$C$7,1,0)+IF(P13='AnswerKey'!$B$8,1,0)+IF(Q13='AnswerKey'!$C$8,1,0)+IF(R13='AnswerKey'!$B$9,1,0)+IF(S13='AnswerKey'!$C$9,1,0)+IF(T13='AnswerKey'!$B$10,1,0)+IF(U13='AnswerKey'!$C$10,1,0))</x:f>
      </x:c>
    </x:row>
    <x:row r="14">
      <x:c r="A14" s="34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35" t="str">
        <x:f>IF(LEN(B14)=0,"",IF(D14='AnswerKey'!$B$2,1,0)+IF(E14='AnswerKey'!$C$2,1,0)+IF(F14='AnswerKey'!$B$3,1,0)+IF(G14='AnswerKey'!$C$3,1,0)+IF(H14='AnswerKey'!$B$4,1,0)+IF(I14='AnswerKey'!$C$4,1,0)+IF(J14='AnswerKey'!$B$5,1,0)+IF(K14='AnswerKey'!$C$5,1,0)+IF(L14='AnswerKey'!$B$6,1,0)+IF(M14='AnswerKey'!$C$6,1,0)+IF(N14='AnswerKey'!$B$7,1,0)+IF(O14='AnswerKey'!$C$7,1,0)+IF(P14='AnswerKey'!$B$8,1,0)+IF(Q14='AnswerKey'!$C$8,1,0)+IF(R14='AnswerKey'!$B$9,1,0)+IF(S14='AnswerKey'!$C$9,1,0)+IF(T14='AnswerKey'!$B$10,1,0)+IF(U14='AnswerKey'!$C$10,1,0))</x:f>
      </x:c>
    </x:row>
    <x:row r="15">
      <x:c r="A15" s="34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35" t="str">
        <x:f>IF(LEN(B15)=0,"",IF(D15='AnswerKey'!$B$2,1,0)+IF(E15='AnswerKey'!$C$2,1,0)+IF(F15='AnswerKey'!$B$3,1,0)+IF(G15='AnswerKey'!$C$3,1,0)+IF(H15='AnswerKey'!$B$4,1,0)+IF(I15='AnswerKey'!$C$4,1,0)+IF(J15='AnswerKey'!$B$5,1,0)+IF(K15='AnswerKey'!$C$5,1,0)+IF(L15='AnswerKey'!$B$6,1,0)+IF(M15='AnswerKey'!$C$6,1,0)+IF(N15='AnswerKey'!$B$7,1,0)+IF(O15='AnswerKey'!$C$7,1,0)+IF(P15='AnswerKey'!$B$8,1,0)+IF(Q15='AnswerKey'!$C$8,1,0)+IF(R15='AnswerKey'!$B$9,1,0)+IF(S15='AnswerKey'!$C$9,1,0)+IF(T15='AnswerKey'!$B$10,1,0)+IF(U15='AnswerKey'!$C$10,1,0))</x:f>
      </x:c>
    </x:row>
    <x:row r="16">
      <x:c r="A16" s="34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35" t="str">
        <x:f>IF(LEN(B16)=0,"",IF(D16='AnswerKey'!$B$2,1,0)+IF(E16='AnswerKey'!$C$2,1,0)+IF(F16='AnswerKey'!$B$3,1,0)+IF(G16='AnswerKey'!$C$3,1,0)+IF(H16='AnswerKey'!$B$4,1,0)+IF(I16='AnswerKey'!$C$4,1,0)+IF(J16='AnswerKey'!$B$5,1,0)+IF(K16='AnswerKey'!$C$5,1,0)+IF(L16='AnswerKey'!$B$6,1,0)+IF(M16='AnswerKey'!$C$6,1,0)+IF(N16='AnswerKey'!$B$7,1,0)+IF(O16='AnswerKey'!$C$7,1,0)+IF(P16='AnswerKey'!$B$8,1,0)+IF(Q16='AnswerKey'!$C$8,1,0)+IF(R16='AnswerKey'!$B$9,1,0)+IF(S16='AnswerKey'!$C$9,1,0)+IF(T16='AnswerKey'!$B$10,1,0)+IF(U16='AnswerKey'!$C$10,1,0))</x:f>
      </x:c>
    </x:row>
    <x:row r="17">
      <x:c r="A17" s="34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35" t="str">
        <x:f>IF(LEN(B17)=0,"",IF(D17='AnswerKey'!$B$2,1,0)+IF(E17='AnswerKey'!$C$2,1,0)+IF(F17='AnswerKey'!$B$3,1,0)+IF(G17='AnswerKey'!$C$3,1,0)+IF(H17='AnswerKey'!$B$4,1,0)+IF(I17='AnswerKey'!$C$4,1,0)+IF(J17='AnswerKey'!$B$5,1,0)+IF(K17='AnswerKey'!$C$5,1,0)+IF(L17='AnswerKey'!$B$6,1,0)+IF(M17='AnswerKey'!$C$6,1,0)+IF(N17='AnswerKey'!$B$7,1,0)+IF(O17='AnswerKey'!$C$7,1,0)+IF(P17='AnswerKey'!$B$8,1,0)+IF(Q17='AnswerKey'!$C$8,1,0)+IF(R17='AnswerKey'!$B$9,1,0)+IF(S17='AnswerKey'!$C$9,1,0)+IF(T17='AnswerKey'!$B$10,1,0)+IF(U17='AnswerKey'!$C$10,1,0))</x:f>
      </x:c>
    </x:row>
    <x:row r="18">
      <x:c r="A18" s="34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35" t="str">
        <x:f>IF(LEN(B18)=0,"",IF(D18='AnswerKey'!$B$2,1,0)+IF(E18='AnswerKey'!$C$2,1,0)+IF(F18='AnswerKey'!$B$3,1,0)+IF(G18='AnswerKey'!$C$3,1,0)+IF(H18='AnswerKey'!$B$4,1,0)+IF(I18='AnswerKey'!$C$4,1,0)+IF(J18='AnswerKey'!$B$5,1,0)+IF(K18='AnswerKey'!$C$5,1,0)+IF(L18='AnswerKey'!$B$6,1,0)+IF(M18='AnswerKey'!$C$6,1,0)+IF(N18='AnswerKey'!$B$7,1,0)+IF(O18='AnswerKey'!$C$7,1,0)+IF(P18='AnswerKey'!$B$8,1,0)+IF(Q18='AnswerKey'!$C$8,1,0)+IF(R18='AnswerKey'!$B$9,1,0)+IF(S18='AnswerKey'!$C$9,1,0)+IF(T18='AnswerKey'!$B$10,1,0)+IF(U18='AnswerKey'!$C$10,1,0))</x:f>
      </x:c>
    </x:row>
    <x:row r="19">
      <x:c r="A19" s="34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35" t="str">
        <x:f>IF(LEN(B19)=0,"",IF(D19='AnswerKey'!$B$2,1,0)+IF(E19='AnswerKey'!$C$2,1,0)+IF(F19='AnswerKey'!$B$3,1,0)+IF(G19='AnswerKey'!$C$3,1,0)+IF(H19='AnswerKey'!$B$4,1,0)+IF(I19='AnswerKey'!$C$4,1,0)+IF(J19='AnswerKey'!$B$5,1,0)+IF(K19='AnswerKey'!$C$5,1,0)+IF(L19='AnswerKey'!$B$6,1,0)+IF(M19='AnswerKey'!$C$6,1,0)+IF(N19='AnswerKey'!$B$7,1,0)+IF(O19='AnswerKey'!$C$7,1,0)+IF(P19='AnswerKey'!$B$8,1,0)+IF(Q19='AnswerKey'!$C$8,1,0)+IF(R19='AnswerKey'!$B$9,1,0)+IF(S19='AnswerKey'!$C$9,1,0)+IF(T19='AnswerKey'!$B$10,1,0)+IF(U19='AnswerKey'!$C$10,1,0))</x:f>
      </x:c>
    </x:row>
    <x:row r="20">
      <x:c r="A20" s="34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35" t="str">
        <x:f>IF(LEN(B20)=0,"",IF(D20='AnswerKey'!$B$2,1,0)+IF(E20='AnswerKey'!$C$2,1,0)+IF(F20='AnswerKey'!$B$3,1,0)+IF(G20='AnswerKey'!$C$3,1,0)+IF(H20='AnswerKey'!$B$4,1,0)+IF(I20='AnswerKey'!$C$4,1,0)+IF(J20='AnswerKey'!$B$5,1,0)+IF(K20='AnswerKey'!$C$5,1,0)+IF(L20='AnswerKey'!$B$6,1,0)+IF(M20='AnswerKey'!$C$6,1,0)+IF(N20='AnswerKey'!$B$7,1,0)+IF(O20='AnswerKey'!$C$7,1,0)+IF(P20='AnswerKey'!$B$8,1,0)+IF(Q20='AnswerKey'!$C$8,1,0)+IF(R20='AnswerKey'!$B$9,1,0)+IF(S20='AnswerKey'!$C$9,1,0)+IF(T20='AnswerKey'!$B$10,1,0)+IF(U20='AnswerKey'!$C$10,1,0)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4" hidden="0" customWidth="1"/>
    <x:col min="4" max="4" width="52" hidden="0" customWidth="1"/>
    <x:col min="5" max="5" width="18" hidden="0" customWidth="1"/>
    <x:col min="6" max="6" width="18" hidden="0" customWidth="1"/>
  </x:cols>
  <x:sheetData>
    <x:row r="1">
      <x:c r="A1" s="20" t="str">
        <x:v>Player Name</x:v>
      </x:c>
      <x:c r="B1" s="22" t="str">
        <x:v>Score</x:v>
      </x:c>
      <x:c r="D1" s="6" t="str">
        <x:v>Publish this tab as CSV</x:v>
      </x:c>
      <x:c r="E1" s="13" t="str"/>
      <x:c r="F1" s="7" t="str"/>
    </x:row>
    <x:row r="2">
      <x:c r="A2" s="10" t="str">
        <x:f>IFERROR(INDEX('Form Responses 1'!$B$2:$B$20,MATCH(LARGE('Form Responses 1'!$V$2:$V$20,1),'Form Responses 1'!$V$2:$V$20,0)),"")</x:f>
        <x:v>Taylor Demo</x:v>
      </x:c>
      <x:c r="B2" s="35" t="n">
        <x:f>IFERROR(LARGE('Form Responses 1'!$V$2:$V$20,1),"")</x:f>
        <x:v>18</x:v>
      </x:c>
      <x:c r="D2" s="10" t="str">
        <x:v>The React app reads columns Player Name and Score.</x:v>
      </x:c>
      <x:c r="E2" s="15" t="str"/>
      <x:c r="F2" s="11" t="str"/>
    </x:row>
    <x:row r="3">
      <x:c r="A3" s="10" t="str">
        <x:f>IFERROR(INDEX('Form Responses 1'!$B$2:$B$20,MATCH(LARGE('Form Responses 1'!$V$2:$V$20,2),'Form Responses 1'!$V$2:$V$20,0)),"")</x:f>
        <x:v>Riley Demo</x:v>
      </x:c>
      <x:c r="B3" s="35" t="n">
        <x:f>IFERROR(LARGE('Form Responses 1'!$V$2:$V$20,2),"")</x:f>
        <x:v>9</x:v>
      </x:c>
      <x:c r="D3" s="10" t="str">
        <x:v>After uploading to Google Sheets, paste the QUERY formula from Setup into A1 if you want native Sheets sorting.</x:v>
      </x:c>
      <x:c r="E3" s="15" t="str"/>
      <x:c r="F3" s="11" t="str"/>
    </x:row>
    <x:row r="4">
      <x:c r="A4" s="10" t="str">
        <x:f>IFERROR(INDEX('Form Responses 1'!$B$2:$B$20,MATCH(LARGE('Form Responses 1'!$V$2:$V$20,3),'Form Responses 1'!$V$2:$V$20,0)),"")</x:f>
        <x:v>Sam Demo</x:v>
      </x:c>
      <x:c r="B4" s="35" t="n">
        <x:f>IFERROR(LARGE('Form Responses 1'!$V$2:$V$20,3),"")</x:f>
        <x:v>4</x:v>
      </x:c>
      <x:c r="D4" s="10" t="str">
        <x:v>The Excel formulas here keep the mock workbook auditable before upload.</x:v>
      </x:c>
      <x:c r="E4" s="15" t="str"/>
      <x:c r="F4" s="11" t="str"/>
    </x:row>
    <x:row r="5">
      <x:c r="A5" s="10" t="str">
        <x:f>IFERROR(INDEX('Form Responses 1'!$B$2:$B$20,MATCH(LARGE('Form Responses 1'!$V$2:$V$20,4),'Form Responses 1'!$V$2:$V$20,0)),"")</x:f>
      </x:c>
      <x:c r="B5" s="35" t="str">
        <x:f>IFERROR(LARGE('Form Responses 1'!$V$2:$V$20,4),"")</x:f>
      </x:c>
      <x:c r="D5" s="10" t="str"/>
      <x:c r="E5" s="15" t="str"/>
      <x:c r="F5" s="11" t="str"/>
    </x:row>
    <x:row r="6">
      <x:c r="A6" s="10" t="str">
        <x:f>IFERROR(INDEX('Form Responses 1'!$B$2:$B$20,MATCH(LARGE('Form Responses 1'!$V$2:$V$20,5),'Form Responses 1'!$V$2:$V$20,0)),"")</x:f>
      </x:c>
      <x:c r="B6" s="35" t="str">
        <x:f>IFERROR(LARGE('Form Responses 1'!$V$2:$V$20,5),"")</x:f>
      </x:c>
    </x:row>
    <x:row r="7">
      <x:c r="A7" s="10" t="str">
        <x:f>IFERROR(INDEX('Form Responses 1'!$B$2:$B$20,MATCH(LARGE('Form Responses 1'!$V$2:$V$20,6),'Form Responses 1'!$V$2:$V$20,0)),"")</x:f>
      </x:c>
      <x:c r="B7" s="35" t="str">
        <x:f>IFERROR(LARGE('Form Responses 1'!$V$2:$V$20,6),"")</x:f>
      </x:c>
    </x:row>
    <x:row r="8">
      <x:c r="A8" s="10" t="str">
        <x:f>IFERROR(INDEX('Form Responses 1'!$B$2:$B$20,MATCH(LARGE('Form Responses 1'!$V$2:$V$20,7),'Form Responses 1'!$V$2:$V$20,0)),"")</x:f>
      </x:c>
      <x:c r="B8" s="35" t="str">
        <x:f>IFERROR(LARGE('Form Responses 1'!$V$2:$V$20,7),"")</x:f>
      </x:c>
    </x:row>
    <x:row r="9">
      <x:c r="A9" s="10" t="str">
        <x:f>IFERROR(INDEX('Form Responses 1'!$B$2:$B$20,MATCH(LARGE('Form Responses 1'!$V$2:$V$20,8),'Form Responses 1'!$V$2:$V$20,0)),"")</x:f>
      </x:c>
      <x:c r="B9" s="35" t="str">
        <x:f>IFERROR(LARGE('Form Responses 1'!$V$2:$V$20,8),"")</x:f>
      </x:c>
    </x:row>
    <x:row r="10">
      <x:c r="A10" s="10" t="str">
        <x:f>IFERROR(INDEX('Form Responses 1'!$B$2:$B$20,MATCH(LARGE('Form Responses 1'!$V$2:$V$20,9),'Form Responses 1'!$V$2:$V$20,0)),"")</x:f>
      </x:c>
      <x:c r="B10" s="35" t="str">
        <x:f>IFERROR(LARGE('Form Responses 1'!$V$2:$V$20,9),"")</x:f>
      </x:c>
    </x:row>
    <x:row r="11">
      <x:c r="A11" s="10" t="str">
        <x:f>IFERROR(INDEX('Form Responses 1'!$B$2:$B$20,MATCH(LARGE('Form Responses 1'!$V$2:$V$20,10),'Form Responses 1'!$V$2:$V$20,0)),"")</x:f>
      </x:c>
      <x:c r="B11" s="35" t="str">
        <x:f>IFERROR(LARGE('Form Responses 1'!$V$2:$V$20,10),"")</x:f>
      </x:c>
    </x:row>
    <x:row r="12">
      <x:c r="A12" s="10" t="str">
        <x:f>IFERROR(INDEX('Form Responses 1'!$B$2:$B$20,MATCH(LARGE('Form Responses 1'!$V$2:$V$20,11),'Form Responses 1'!$V$2:$V$20,0)),"")</x:f>
      </x:c>
      <x:c r="B12" s="35" t="str">
        <x:f>IFERROR(LARGE('Form Responses 1'!$V$2:$V$20,11),"")</x:f>
      </x:c>
    </x:row>
    <x:row r="13">
      <x:c r="A13" s="10" t="str">
        <x:f>IFERROR(INDEX('Form Responses 1'!$B$2:$B$20,MATCH(LARGE('Form Responses 1'!$V$2:$V$20,12),'Form Responses 1'!$V$2:$V$20,0)),"")</x:f>
      </x:c>
      <x:c r="B13" s="35" t="str">
        <x:f>IFERROR(LARGE('Form Responses 1'!$V$2:$V$20,12),"")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18" hidden="0" customWidth="1"/>
    <x:col min="4" max="4" width="34" hidden="0" customWidth="1"/>
    <x:col min="5" max="5" width="30" hidden="0" customWidth="1"/>
  </x:cols>
  <x:sheetData>
    <x:row r="1">
      <x:c r="A1" s="31" t="str">
        <x:v>Frontend env var</x:v>
      </x:c>
      <x:c r="B1" s="32" t="str">
        <x:v>Google Form question</x:v>
      </x:c>
      <x:c r="C1" s="32" t="str">
        <x:v>Response column</x:v>
      </x:c>
      <x:c r="D1" s="32" t="str">
        <x:v>Accepted value</x:v>
      </x:c>
      <x:c r="E1" s="33" t="str">
        <x:v>Entry ID placeholder</x:v>
      </x:c>
    </x:row>
    <x:row r="2">
      <x:c r="A2" s="10" t="str">
        <x:v>VITE_ENTRY_PLAYER_NAME</x:v>
      </x:c>
      <x:c r="B2" s="15" t="str">
        <x:v>Q1 Player Name</x:v>
      </x:c>
      <x:c r="C2" s="15" t="str">
        <x:v>B</x:v>
      </x:c>
      <x:c r="D2" s="15" t="str">
        <x:v>Short answer</x:v>
      </x:c>
      <x:c r="E2" s="11" t="str">
        <x:v>entry.PLAYER_NAME_ID</x:v>
      </x:c>
    </x:row>
    <x:row r="3">
      <x:c r="A3" s="10" t="str">
        <x:v>VITE_ENTRY_PLAYER_EMAIL</x:v>
      </x:c>
      <x:c r="B3" s="15" t="str">
        <x:v>Q2 Player Email</x:v>
      </x:c>
      <x:c r="C3" s="15" t="str">
        <x:v>C</x:v>
      </x:c>
      <x:c r="D3" s="15" t="str">
        <x:v>Short answer</x:v>
      </x:c>
      <x:c r="E3" s="11" t="str">
        <x:v>entry.PLAYER_EMAIL_ID</x:v>
      </x:c>
    </x:row>
    <x:row r="4">
      <x:c r="A4" s="10" t="str">
        <x:v>VITE_ENTRY_FACT_1</x:v>
      </x:c>
      <x:c r="B4" s="15" t="str">
        <x:v>Q3 Guess Fact 1 - Avery Chen</x:v>
      </x:c>
      <x:c r="C4" s="15" t="str">
        <x:v>D</x:v>
      </x:c>
      <x:c r="D4" s="15" t="str">
        <x:v>Dropdown using GameData!B2:B10</x:v>
      </x:c>
      <x:c r="E4" s="11" t="str">
        <x:v>entry.COWORKER_1_FACT_ID</x:v>
      </x:c>
    </x:row>
    <x:row r="5">
      <x:c r="A5" s="10" t="str">
        <x:v>VITE_ENTRY_FACT_2</x:v>
      </x:c>
      <x:c r="B5" s="15" t="str">
        <x:v>Q4 Guess Fact 2 - Blair Ortiz</x:v>
      </x:c>
      <x:c r="C5" s="15" t="str">
        <x:v>F</x:v>
      </x:c>
      <x:c r="D5" s="15" t="str">
        <x:v>Dropdown using GameData!B2:B10</x:v>
      </x:c>
      <x:c r="E5" s="11" t="str">
        <x:v>entry.COWORKER_2_FACT_ID</x:v>
      </x:c>
    </x:row>
    <x:row r="6">
      <x:c r="A6" s="10" t="str">
        <x:v>VITE_ENTRY_FACT_3</x:v>
      </x:c>
      <x:c r="B6" s="15" t="str">
        <x:v>Q5 Guess Fact 3 - Casey Novak</x:v>
      </x:c>
      <x:c r="C6" s="15" t="str">
        <x:v>H</x:v>
      </x:c>
      <x:c r="D6" s="15" t="str">
        <x:v>Dropdown using GameData!B2:B10</x:v>
      </x:c>
      <x:c r="E6" s="11" t="str">
        <x:v>entry.COWORKER_3_FACT_ID</x:v>
      </x:c>
    </x:row>
    <x:row r="7">
      <x:c r="A7" s="10" t="str">
        <x:v>VITE_ENTRY_FACT_4</x:v>
      </x:c>
      <x:c r="B7" s="15" t="str">
        <x:v>Q6 Guess Fact 4 - Devon Patel</x:v>
      </x:c>
      <x:c r="C7" s="15" t="str">
        <x:v>J</x:v>
      </x:c>
      <x:c r="D7" s="15" t="str">
        <x:v>Dropdown using GameData!B2:B10</x:v>
      </x:c>
      <x:c r="E7" s="11" t="str">
        <x:v>entry.COWORKER_4_FACT_ID</x:v>
      </x:c>
    </x:row>
    <x:row r="8">
      <x:c r="A8" s="10" t="str">
        <x:v>VITE_ENTRY_FACT_5</x:v>
      </x:c>
      <x:c r="B8" s="15" t="str">
        <x:v>Q7 Guess Fact 5 - Ellis Wright</x:v>
      </x:c>
      <x:c r="C8" s="15" t="str">
        <x:v>L</x:v>
      </x:c>
      <x:c r="D8" s="15" t="str">
        <x:v>Dropdown using GameData!B2:B10</x:v>
      </x:c>
      <x:c r="E8" s="11" t="str">
        <x:v>entry.COWORKER_5_FACT_ID</x:v>
      </x:c>
    </x:row>
    <x:row r="9">
      <x:c r="A9" s="10" t="str">
        <x:v>VITE_ENTRY_FACT_6</x:v>
      </x:c>
      <x:c r="B9" s="15" t="str">
        <x:v>Q8 Guess Fact 6 - Finley Brooks</x:v>
      </x:c>
      <x:c r="C9" s="15" t="str">
        <x:v>N</x:v>
      </x:c>
      <x:c r="D9" s="15" t="str">
        <x:v>Dropdown using GameData!B2:B10</x:v>
      </x:c>
      <x:c r="E9" s="11" t="str">
        <x:v>entry.COWORKER_6_FACT_ID</x:v>
      </x:c>
    </x:row>
    <x:row r="10">
      <x:c r="A10" s="10" t="str">
        <x:v>VITE_ENTRY_FACT_7</x:v>
      </x:c>
      <x:c r="B10" s="15" t="str">
        <x:v>Q9 Guess Fact 7 - Harper Kim</x:v>
      </x:c>
      <x:c r="C10" s="15" t="str">
        <x:v>P</x:v>
      </x:c>
      <x:c r="D10" s="15" t="str">
        <x:v>Dropdown using GameData!B2:B10</x:v>
      </x:c>
      <x:c r="E10" s="11" t="str">
        <x:v>entry.COWORKER_7_FACT_ID</x:v>
      </x:c>
    </x:row>
    <x:row r="11">
      <x:c r="A11" s="10" t="str">
        <x:v>VITE_ENTRY_FACT_8</x:v>
      </x:c>
      <x:c r="B11" s="15" t="str">
        <x:v>Q10 Guess Fact 8 - Jordan Reed</x:v>
      </x:c>
      <x:c r="C11" s="15" t="str">
        <x:v>R</x:v>
      </x:c>
      <x:c r="D11" s="15" t="str">
        <x:v>Dropdown using GameData!B2:B10</x:v>
      </x:c>
      <x:c r="E11" s="11" t="str">
        <x:v>entry.COWORKER_8_FACT_ID</x:v>
      </x:c>
    </x:row>
    <x:row r="12">
      <x:c r="A12" s="10" t="str">
        <x:v>VITE_ENTRY_FACT_9</x:v>
      </x:c>
      <x:c r="B12" s="15" t="str">
        <x:v>Q11 Guess Fact 9 - Morgan Stone</x:v>
      </x:c>
      <x:c r="C12" s="15" t="str">
        <x:v>T</x:v>
      </x:c>
      <x:c r="D12" s="15" t="str">
        <x:v>Dropdown using GameData!B2:B10</x:v>
      </x:c>
      <x:c r="E12" s="11" t="str">
        <x:v>entry.COWORKER_9_FACT_ID</x:v>
      </x:c>
    </x:row>
    <x:row r="13">
      <x:c r="A13" s="10" t="str">
        <x:v>VITE_ENTRY_SONG_1</x:v>
      </x:c>
      <x:c r="B13" s="15" t="str">
        <x:v>Q12 Guess Song 1 - Avery Chen</x:v>
      </x:c>
      <x:c r="C13" s="15" t="str">
        <x:v>E</x:v>
      </x:c>
      <x:c r="D13" s="15" t="str">
        <x:v>Dropdown using GameData!C2:C10</x:v>
      </x:c>
      <x:c r="E13" s="11" t="str">
        <x:v>entry.COWORKER_1_SONG_ID</x:v>
      </x:c>
    </x:row>
    <x:row r="14">
      <x:c r="A14" s="10" t="str">
        <x:v>VITE_ENTRY_SONG_2</x:v>
      </x:c>
      <x:c r="B14" s="15" t="str">
        <x:v>Q13 Guess Song 2 - Blair Ortiz</x:v>
      </x:c>
      <x:c r="C14" s="15" t="str">
        <x:v>G</x:v>
      </x:c>
      <x:c r="D14" s="15" t="str">
        <x:v>Dropdown using GameData!C2:C10</x:v>
      </x:c>
      <x:c r="E14" s="11" t="str">
        <x:v>entry.COWORKER_2_SONG_ID</x:v>
      </x:c>
    </x:row>
    <x:row r="15">
      <x:c r="A15" s="10" t="str">
        <x:v>VITE_ENTRY_SONG_3</x:v>
      </x:c>
      <x:c r="B15" s="15" t="str">
        <x:v>Q14 Guess Song 3 - Casey Novak</x:v>
      </x:c>
      <x:c r="C15" s="15" t="str">
        <x:v>I</x:v>
      </x:c>
      <x:c r="D15" s="15" t="str">
        <x:v>Dropdown using GameData!C2:C10</x:v>
      </x:c>
      <x:c r="E15" s="11" t="str">
        <x:v>entry.COWORKER_3_SONG_ID</x:v>
      </x:c>
    </x:row>
    <x:row r="16">
      <x:c r="A16" s="10" t="str">
        <x:v>VITE_ENTRY_SONG_4</x:v>
      </x:c>
      <x:c r="B16" s="15" t="str">
        <x:v>Q15 Guess Song 4 - Devon Patel</x:v>
      </x:c>
      <x:c r="C16" s="15" t="str">
        <x:v>K</x:v>
      </x:c>
      <x:c r="D16" s="15" t="str">
        <x:v>Dropdown using GameData!C2:C10</x:v>
      </x:c>
      <x:c r="E16" s="11" t="str">
        <x:v>entry.COWORKER_4_SONG_ID</x:v>
      </x:c>
    </x:row>
    <x:row r="17">
      <x:c r="A17" s="10" t="str">
        <x:v>VITE_ENTRY_SONG_5</x:v>
      </x:c>
      <x:c r="B17" s="15" t="str">
        <x:v>Q16 Guess Song 5 - Ellis Wright</x:v>
      </x:c>
      <x:c r="C17" s="15" t="str">
        <x:v>M</x:v>
      </x:c>
      <x:c r="D17" s="15" t="str">
        <x:v>Dropdown using GameData!C2:C10</x:v>
      </x:c>
      <x:c r="E17" s="11" t="str">
        <x:v>entry.COWORKER_5_SONG_ID</x:v>
      </x:c>
    </x:row>
    <x:row r="18">
      <x:c r="A18" s="10" t="str">
        <x:v>VITE_ENTRY_SONG_6</x:v>
      </x:c>
      <x:c r="B18" s="15" t="str">
        <x:v>Q17 Guess Song 6 - Finley Brooks</x:v>
      </x:c>
      <x:c r="C18" s="15" t="str">
        <x:v>O</x:v>
      </x:c>
      <x:c r="D18" s="15" t="str">
        <x:v>Dropdown using GameData!C2:C10</x:v>
      </x:c>
      <x:c r="E18" s="11" t="str">
        <x:v>entry.COWORKER_6_SONG_ID</x:v>
      </x:c>
    </x:row>
    <x:row r="19">
      <x:c r="A19" s="10" t="str">
        <x:v>VITE_ENTRY_SONG_7</x:v>
      </x:c>
      <x:c r="B19" s="15" t="str">
        <x:v>Q18 Guess Song 7 - Harper Kim</x:v>
      </x:c>
      <x:c r="C19" s="15" t="str">
        <x:v>Q</x:v>
      </x:c>
      <x:c r="D19" s="15" t="str">
        <x:v>Dropdown using GameData!C2:C10</x:v>
      </x:c>
      <x:c r="E19" s="11" t="str">
        <x:v>entry.COWORKER_7_SONG_ID</x:v>
      </x:c>
    </x:row>
    <x:row r="20">
      <x:c r="A20" s="10" t="str">
        <x:v>VITE_ENTRY_SONG_8</x:v>
      </x:c>
      <x:c r="B20" s="15" t="str">
        <x:v>Q19 Guess Song 8 - Jordan Reed</x:v>
      </x:c>
      <x:c r="C20" s="15" t="str">
        <x:v>S</x:v>
      </x:c>
      <x:c r="D20" s="15" t="str">
        <x:v>Dropdown using GameData!C2:C10</x:v>
      </x:c>
      <x:c r="E20" s="11" t="str">
        <x:v>entry.COWORKER_8_SONG_ID</x:v>
      </x:c>
    </x:row>
    <x:row r="21">
      <x:c r="A21" s="10" t="str">
        <x:v>VITE_ENTRY_SONG_9</x:v>
      </x:c>
      <x:c r="B21" s="15" t="str">
        <x:v>Q20 Guess Song 9 - Morgan Stone</x:v>
      </x:c>
      <x:c r="C21" s="15" t="str">
        <x:v>U</x:v>
      </x:c>
      <x:c r="D21" s="15" t="str">
        <x:v>Dropdown using GameData!C2:C10</x:v>
      </x:c>
      <x:c r="E21" s="11" t="str">
        <x:v>entry.COWORKER_9_SONG_ID</x:v>
      </x:c>
    </x:row>
  </x:sheetData>
  <x:pageMargins left="0.7" right="0.7" top="0.75" bottom="0.75" header="0.3" footer="0.3"/>
  <x:tableParts count="1">
    <x:tablePart xmlns:r="http://schemas.openxmlformats.org/officeDocument/2006/relationships" r:id="Rfe1e6eff5f9d4d99"/>
  </x:tableParts>
</x:worksheet>
</file>